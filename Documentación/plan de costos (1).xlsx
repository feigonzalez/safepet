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costos" sheetId="1" r:id="rId4"/>
    <sheet state="visible" name="Flujo de caja" sheetId="2" r:id="rId5"/>
  </sheets>
  <definedNames/>
  <calcPr/>
  <extLst>
    <ext uri="GoogleSheetsCustomDataVersion2">
      <go:sheetsCustomData xmlns:go="http://customooxmlschemas.google.com/" r:id="rId6" roundtripDataChecksum="A4anhKUuu16Xs2Zvnct5beEfrn2ZU9yQtPUPlxU5FyI="/>
    </ext>
  </extLst>
</workbook>
</file>

<file path=xl/sharedStrings.xml><?xml version="1.0" encoding="utf-8"?>
<sst xmlns="http://schemas.openxmlformats.org/spreadsheetml/2006/main" count="164" uniqueCount="114">
  <si>
    <t>Egresos</t>
  </si>
  <si>
    <t>Costos RRHH</t>
  </si>
  <si>
    <t>Personal</t>
  </si>
  <si>
    <t>Pago x hora</t>
  </si>
  <si>
    <t>Aguinaldo</t>
  </si>
  <si>
    <t>Cantidad horas</t>
  </si>
  <si>
    <t>Total</t>
  </si>
  <si>
    <t>Item</t>
  </si>
  <si>
    <t>Scrum Master</t>
  </si>
  <si>
    <t>Francisca Espinosa</t>
  </si>
  <si>
    <t>Desarrollador</t>
  </si>
  <si>
    <t>Felipe González</t>
  </si>
  <si>
    <t>Equipos e infraestructura</t>
  </si>
  <si>
    <t>Ing. Base de datos</t>
  </si>
  <si>
    <t>Gastos generales e improvistos</t>
  </si>
  <si>
    <t>Responsable de calidad</t>
  </si>
  <si>
    <t>Gastos comunes</t>
  </si>
  <si>
    <t>Diseñador</t>
  </si>
  <si>
    <t>Descripción</t>
  </si>
  <si>
    <t>Costo unitario o por mes</t>
  </si>
  <si>
    <t>Cantidad unidad o mes</t>
  </si>
  <si>
    <t>Notebooks</t>
  </si>
  <si>
    <t>Equipos desarrollo</t>
  </si>
  <si>
    <t>Smartphone test</t>
  </si>
  <si>
    <t>android para pruebas App</t>
  </si>
  <si>
    <t xml:space="preserve">Servidor  y licencias </t>
  </si>
  <si>
    <t>Hosting  y pagos</t>
  </si>
  <si>
    <t>Perifericos</t>
  </si>
  <si>
    <t>Mouse y teclado</t>
  </si>
  <si>
    <t>Total egresos</t>
  </si>
  <si>
    <t>Sillas de escritorio</t>
  </si>
  <si>
    <t>Ergonómicas</t>
  </si>
  <si>
    <t>Oficina</t>
  </si>
  <si>
    <t>Lugar de desarrollo y reunion</t>
  </si>
  <si>
    <t>Gastos generales e imprevistos</t>
  </si>
  <si>
    <t>Precio unitario</t>
  </si>
  <si>
    <t>Cantidad</t>
  </si>
  <si>
    <t>Transporte</t>
  </si>
  <si>
    <t>Desayuno</t>
  </si>
  <si>
    <t>Almuerzo</t>
  </si>
  <si>
    <t>Reserva de emergencia</t>
  </si>
  <si>
    <t>Cantidad de meses</t>
  </si>
  <si>
    <t>Agua</t>
  </si>
  <si>
    <t>Luz</t>
  </si>
  <si>
    <t>Gas</t>
  </si>
  <si>
    <t>Internet</t>
  </si>
  <si>
    <t>Antedecentes</t>
  </si>
  <si>
    <t>Tasa Mensual 1%</t>
  </si>
  <si>
    <t>Inversion</t>
  </si>
  <si>
    <t>Presupuesto</t>
  </si>
  <si>
    <t>EL PRESTAMO  SE COMIENZA A PAGAR EL TERCER MES Y SE TERMINA DE PAGAR EN EL MES 14</t>
  </si>
  <si>
    <t>Flujo 1</t>
  </si>
  <si>
    <t>Costo del proyecto</t>
  </si>
  <si>
    <t>Flujo 2</t>
  </si>
  <si>
    <t>Prestamo a solicitar</t>
  </si>
  <si>
    <t>Flujo 3</t>
  </si>
  <si>
    <t>Flujo 4</t>
  </si>
  <si>
    <t>Flujo 5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</si>
  <si>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</si>
  <si>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</si>
  <si>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</si>
  <si>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</si>
  <si>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</si>
  <si>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</si>
  <si>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</si>
  <si>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</si>
  <si>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</si>
  <si>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</si>
  <si>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</si>
  <si>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</si>
  <si>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</si>
  <si>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</si>
  <si>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Flujo 6</t>
  </si>
  <si>
    <t>Flujo 7</t>
  </si>
  <si>
    <t>Flujo 8</t>
  </si>
  <si>
    <t>Flujo 9</t>
  </si>
  <si>
    <t>Flujo 10</t>
  </si>
  <si>
    <t>Flujo 11</t>
  </si>
  <si>
    <t>Pago credito</t>
  </si>
  <si>
    <t>Flujo 12</t>
  </si>
  <si>
    <t>Flujo 13</t>
  </si>
  <si>
    <t>Flujo 14</t>
  </si>
  <si>
    <t>Se acordó con el cliente realizar el pago del proyecto en 3 cuotas, la primera el inicio del mismo de un 25%, la segunda en el tercer mes de 25%, y la ultima en la entrega del proyecto del 50%</t>
  </si>
  <si>
    <t>Ingresos</t>
  </si>
  <si>
    <t>Cuota 1 pago proyecto</t>
  </si>
  <si>
    <t>Cuota 2 pago proyecto</t>
  </si>
  <si>
    <t>Tasa de descuento</t>
  </si>
  <si>
    <t>Mensual</t>
  </si>
  <si>
    <t>Cuota 3 pago proyecto</t>
  </si>
  <si>
    <t>Prestamo</t>
  </si>
  <si>
    <t>TIR</t>
  </si>
  <si>
    <t>Rentabilidad Alta</t>
  </si>
  <si>
    <t>Total ingresos</t>
  </si>
  <si>
    <t>VAN</t>
  </si>
  <si>
    <t>El proyecto es rentablre</t>
  </si>
  <si>
    <t xml:space="preserve">Flujo </t>
  </si>
  <si>
    <t>total semanas de trabajo</t>
  </si>
  <si>
    <t>horas de trabajo por semana</t>
  </si>
  <si>
    <t>CADA UNO</t>
  </si>
  <si>
    <t>costo RRHH por semana</t>
  </si>
  <si>
    <t>gastos equipos e infraestructura</t>
  </si>
  <si>
    <t>gastos generales e improvistos</t>
  </si>
  <si>
    <t>Tasa de interés Anual: 12%</t>
  </si>
  <si>
    <t>Dashboard</t>
  </si>
  <si>
    <t>Cuotas</t>
  </si>
  <si>
    <t>Costo total crédito</t>
  </si>
  <si>
    <t>Valor Cuota</t>
  </si>
  <si>
    <t>Interés Bancario</t>
  </si>
  <si>
    <t>Interés anual</t>
  </si>
  <si>
    <t>Ganancia operativa</t>
  </si>
  <si>
    <t>Sin descontar el interes bancario</t>
  </si>
  <si>
    <t>Flujo</t>
  </si>
  <si>
    <t xml:space="preserve">Ganancia real </t>
  </si>
  <si>
    <t>Ganancia obtenida despues de todos los pagos realizados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</si>
</sst>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&quot;$&quot;* #,##0_ ;_ &quot;$&quot;* \-#,##0_ ;_ &quot;$&quot;* &quot;-&quot;_ ;_ @_ "/>
    <numFmt numFmtId="165" formatCode="[$$]#,##0"/>
  </numFmts>
  <fonts count="10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rgb="FF000000"/>
      <name val="Inconsolata"/>
    </font>
    <font>
      <color rgb="FF1F1F1F"/>
      <name val="&quot;Google Sans Text&quot;"/>
    </font>
    <font>
      <b/>
      <color rgb="FF1F1F1F"/>
      <name val="&quot;Google Sans Text&quot;"/>
    </font>
    <font>
      <i/>
      <color rgb="FF1F1F1F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Fill="1" applyFont="1"/>
    <xf borderId="1" fillId="4" fontId="2" numFmtId="0" xfId="0" applyBorder="1" applyFill="1" applyFont="1"/>
    <xf borderId="1" fillId="5" fontId="3" numFmtId="0" xfId="0" applyBorder="1" applyFill="1" applyFont="1"/>
    <xf borderId="1" fillId="5" fontId="3" numFmtId="0" xfId="0" applyAlignment="1" applyBorder="1" applyFont="1">
      <alignment readingOrder="0"/>
    </xf>
    <xf borderId="1" fillId="5" fontId="3" numFmtId="164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4" numFmtId="164" xfId="0" applyBorder="1" applyFont="1" applyNumberFormat="1"/>
    <xf borderId="1" fillId="0" fontId="2" numFmtId="0" xfId="0" applyBorder="1" applyFont="1"/>
    <xf borderId="1" fillId="5" fontId="3" numFmtId="164" xfId="0" applyBorder="1" applyFont="1" applyNumberFormat="1"/>
    <xf borderId="1" fillId="3" fontId="2" numFmtId="0" xfId="0" applyBorder="1" applyFont="1"/>
    <xf borderId="0" fillId="0" fontId="4" numFmtId="164" xfId="0" applyFont="1" applyNumberFormat="1"/>
    <xf borderId="0" fillId="0" fontId="1" numFmtId="0" xfId="0" applyAlignment="1" applyFont="1">
      <alignment readingOrder="0"/>
    </xf>
    <xf borderId="1" fillId="0" fontId="2" numFmtId="164" xfId="0" applyBorder="1" applyFont="1" applyNumberFormat="1"/>
    <xf borderId="0" fillId="0" fontId="5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5" numFmtId="0" xfId="0" applyFont="1"/>
    <xf borderId="1" fillId="4" fontId="2" numFmtId="0" xfId="0" applyAlignment="1" applyBorder="1" applyFont="1">
      <alignment readingOrder="0"/>
    </xf>
    <xf borderId="1" fillId="0" fontId="2" numFmtId="9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0" fillId="0" fontId="1" numFmtId="164" xfId="0" applyFont="1" applyNumberFormat="1"/>
    <xf borderId="1" fillId="0" fontId="4" numFmtId="1" xfId="0" applyAlignment="1" applyBorder="1" applyFont="1" applyNumberFormat="1">
      <alignment readingOrder="0"/>
    </xf>
    <xf borderId="1" fillId="5" fontId="6" numFmtId="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0" fillId="0" fontId="2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1" fillId="3" fontId="4" numFmtId="164" xfId="0" applyBorder="1" applyFont="1" applyNumberFormat="1"/>
    <xf borderId="1" fillId="0" fontId="2" numFmtId="9" xfId="0" applyBorder="1" applyFont="1" applyNumberFormat="1"/>
    <xf borderId="0" fillId="0" fontId="9" numFmtId="0" xfId="0" applyAlignment="1" applyFont="1">
      <alignment readingOrder="0"/>
    </xf>
    <xf borderId="1" fillId="0" fontId="2" numFmtId="165" xfId="0" applyAlignment="1" applyBorder="1" applyFont="1" applyNumberFormat="1">
      <alignment horizontal="right" readingOrder="0"/>
    </xf>
    <xf borderId="1" fillId="0" fontId="2" numFmtId="4" xfId="0" applyBorder="1" applyFont="1" applyNumberFormat="1"/>
    <xf borderId="0" fillId="6" fontId="1" numFmtId="0" xfId="0" applyAlignment="1" applyFill="1" applyFont="1">
      <alignment readingOrder="0"/>
    </xf>
    <xf borderId="0" fillId="6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25.14"/>
    <col customWidth="1" min="3" max="3" width="21.29"/>
    <col customWidth="1" min="4" max="4" width="19.86"/>
    <col customWidth="1" min="5" max="5" width="13.29"/>
    <col customWidth="1" min="6" max="6" width="11.0"/>
    <col customWidth="1" min="7" max="7" width="8.86"/>
    <col customWidth="1" min="8" max="8" width="26.43"/>
    <col customWidth="1" min="9" max="9" width="12.0"/>
    <col customWidth="1" min="10" max="10" width="8.86"/>
    <col customWidth="1" min="11" max="11" width="20.43"/>
    <col customWidth="1" min="12" max="12" width="25.43"/>
    <col customWidth="1" min="13" max="26" width="8.86"/>
  </cols>
  <sheetData>
    <row r="1" ht="14.25" customHeight="1"/>
    <row r="2" ht="14.25" customHeight="1">
      <c r="H2" s="1" t="s">
        <v>0</v>
      </c>
    </row>
    <row r="3" ht="14.25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  <c r="H3" s="3" t="s">
        <v>7</v>
      </c>
      <c r="I3" s="3" t="s">
        <v>6</v>
      </c>
    </row>
    <row r="4" ht="14.25" customHeight="1">
      <c r="A4" s="4" t="s">
        <v>8</v>
      </c>
      <c r="B4" s="5" t="s">
        <v>9</v>
      </c>
      <c r="C4" s="6">
        <v>13000.0</v>
      </c>
      <c r="D4" s="7">
        <v>100000.0</v>
      </c>
      <c r="E4" s="8">
        <v>250.0</v>
      </c>
      <c r="F4" s="9">
        <f>(E4*C4)+D4</f>
        <v>3350000</v>
      </c>
      <c r="G4" s="10"/>
      <c r="H4" s="10" t="s">
        <v>1</v>
      </c>
      <c r="I4" s="9">
        <f>F4+F5+F6+F7+$F$8</f>
        <v>18060000</v>
      </c>
    </row>
    <row r="5" ht="14.25" customHeight="1">
      <c r="A5" s="4" t="s">
        <v>10</v>
      </c>
      <c r="B5" s="5" t="s">
        <v>11</v>
      </c>
      <c r="C5" s="6">
        <v>12000.0</v>
      </c>
      <c r="D5" s="7">
        <v>100000.0</v>
      </c>
      <c r="E5" s="8">
        <v>600.0</v>
      </c>
      <c r="F5" s="9">
        <f t="shared" ref="F5:F8" si="1">E5*C5+D5</f>
        <v>7300000</v>
      </c>
      <c r="G5" s="10"/>
      <c r="H5" s="10" t="s">
        <v>12</v>
      </c>
      <c r="I5" s="9">
        <f>E12+E13+E14+E17</f>
        <v>2250000</v>
      </c>
    </row>
    <row r="6" ht="14.25" customHeight="1">
      <c r="A6" s="4" t="s">
        <v>13</v>
      </c>
      <c r="B6" s="5" t="s">
        <v>11</v>
      </c>
      <c r="C6" s="6">
        <v>12000.0</v>
      </c>
      <c r="D6" s="7">
        <v>50000.0</v>
      </c>
      <c r="E6" s="8">
        <v>200.0</v>
      </c>
      <c r="F6" s="9">
        <f t="shared" si="1"/>
        <v>2450000</v>
      </c>
      <c r="G6" s="10"/>
      <c r="H6" s="10" t="s">
        <v>14</v>
      </c>
      <c r="I6" s="9">
        <f>D20+D21+D22+D23</f>
        <v>6570000</v>
      </c>
    </row>
    <row r="7" ht="14.25" customHeight="1">
      <c r="A7" s="4" t="s">
        <v>15</v>
      </c>
      <c r="B7" s="5" t="s">
        <v>9</v>
      </c>
      <c r="C7" s="6">
        <v>10000.0</v>
      </c>
      <c r="D7" s="7">
        <v>50000.0</v>
      </c>
      <c r="E7" s="8">
        <v>180.0</v>
      </c>
      <c r="F7" s="9">
        <f t="shared" si="1"/>
        <v>1850000</v>
      </c>
      <c r="G7" s="10"/>
      <c r="H7" s="10" t="s">
        <v>16</v>
      </c>
      <c r="I7" s="9">
        <f>D26+D27+D28+D29</f>
        <v>530000</v>
      </c>
    </row>
    <row r="8" ht="14.25" customHeight="1">
      <c r="A8" s="4" t="s">
        <v>17</v>
      </c>
      <c r="B8" s="5" t="s">
        <v>9</v>
      </c>
      <c r="C8" s="11">
        <v>10000.0</v>
      </c>
      <c r="D8" s="7">
        <v>50000.0</v>
      </c>
      <c r="E8" s="8">
        <v>306.0</v>
      </c>
      <c r="F8" s="9">
        <f t="shared" si="1"/>
        <v>3110000</v>
      </c>
      <c r="G8" s="10"/>
      <c r="H8" s="10"/>
      <c r="I8" s="9">
        <f>I4+I5+I6+I7</f>
        <v>27410000</v>
      </c>
    </row>
    <row r="9" ht="14.25" customHeight="1"/>
    <row r="10" ht="14.25" customHeight="1">
      <c r="K10" s="1" t="s">
        <v>0</v>
      </c>
      <c r="L10" s="1" t="s">
        <v>6</v>
      </c>
    </row>
    <row r="11" ht="14.25" customHeight="1">
      <c r="A11" s="12" t="s">
        <v>12</v>
      </c>
      <c r="B11" s="3" t="s">
        <v>18</v>
      </c>
      <c r="C11" s="3" t="s">
        <v>19</v>
      </c>
      <c r="D11" s="3" t="s">
        <v>20</v>
      </c>
      <c r="E11" s="3" t="s">
        <v>6</v>
      </c>
      <c r="K11" s="10" t="s">
        <v>1</v>
      </c>
      <c r="L11" s="9">
        <f>F4+F5+F6+F7+$F$8</f>
        <v>18060000</v>
      </c>
    </row>
    <row r="12" ht="14.25" customHeight="1">
      <c r="A12" s="10" t="s">
        <v>21</v>
      </c>
      <c r="B12" s="8" t="s">
        <v>22</v>
      </c>
      <c r="C12" s="9">
        <v>649990.0</v>
      </c>
      <c r="D12" s="8">
        <v>2.0</v>
      </c>
      <c r="E12" s="9">
        <f t="shared" ref="E12:E17" si="2">C12*D12</f>
        <v>1299980</v>
      </c>
      <c r="K12" s="10" t="s">
        <v>12</v>
      </c>
      <c r="L12" s="9">
        <f>E12+E13+E14+E17</f>
        <v>2250000</v>
      </c>
    </row>
    <row r="13" ht="14.25" customHeight="1">
      <c r="A13" s="8" t="s">
        <v>23</v>
      </c>
      <c r="B13" s="8" t="s">
        <v>24</v>
      </c>
      <c r="C13" s="7">
        <v>149990.0</v>
      </c>
      <c r="D13" s="8">
        <v>1.0</v>
      </c>
      <c r="E13" s="9">
        <f t="shared" si="2"/>
        <v>149990</v>
      </c>
      <c r="K13" s="10" t="s">
        <v>14</v>
      </c>
      <c r="L13" s="9">
        <f>D20+D21+D22+D23</f>
        <v>6570000</v>
      </c>
    </row>
    <row r="14" ht="14.25" customHeight="1">
      <c r="A14" s="8" t="s">
        <v>25</v>
      </c>
      <c r="B14" s="8" t="s">
        <v>26</v>
      </c>
      <c r="C14" s="7">
        <v>60000.0</v>
      </c>
      <c r="D14" s="8">
        <v>5.0</v>
      </c>
      <c r="E14" s="9">
        <f t="shared" si="2"/>
        <v>300000</v>
      </c>
      <c r="K14" s="10" t="s">
        <v>16</v>
      </c>
      <c r="L14" s="9">
        <f>D26+D27+D28+D29</f>
        <v>530000</v>
      </c>
    </row>
    <row r="15" ht="14.25" customHeight="1">
      <c r="A15" s="8" t="s">
        <v>27</v>
      </c>
      <c r="B15" s="8" t="s">
        <v>28</v>
      </c>
      <c r="C15" s="7">
        <v>29990.0</v>
      </c>
      <c r="D15" s="8">
        <v>2.0</v>
      </c>
      <c r="E15" s="7">
        <f t="shared" si="2"/>
        <v>59980</v>
      </c>
      <c r="K15" s="8" t="s">
        <v>29</v>
      </c>
      <c r="L15" s="9">
        <f>L11+L12+L13+L14</f>
        <v>27410000</v>
      </c>
    </row>
    <row r="16" ht="14.25" customHeight="1">
      <c r="A16" s="8" t="s">
        <v>30</v>
      </c>
      <c r="B16" s="8" t="s">
        <v>31</v>
      </c>
      <c r="C16" s="7">
        <v>45000.0</v>
      </c>
      <c r="D16" s="8">
        <v>2.0</v>
      </c>
      <c r="E16" s="7">
        <f t="shared" si="2"/>
        <v>90000</v>
      </c>
    </row>
    <row r="17" ht="14.25" customHeight="1">
      <c r="A17" s="10" t="s">
        <v>32</v>
      </c>
      <c r="B17" s="10" t="s">
        <v>33</v>
      </c>
      <c r="C17" s="7">
        <v>100006.0</v>
      </c>
      <c r="D17" s="10">
        <v>5.0</v>
      </c>
      <c r="E17" s="7">
        <f t="shared" si="2"/>
        <v>500030</v>
      </c>
    </row>
    <row r="18" ht="14.25" customHeight="1"/>
    <row r="19" ht="14.25" customHeight="1">
      <c r="A19" s="12" t="s">
        <v>34</v>
      </c>
      <c r="B19" s="3" t="s">
        <v>35</v>
      </c>
      <c r="C19" s="3" t="s">
        <v>36</v>
      </c>
      <c r="D19" s="3" t="s">
        <v>6</v>
      </c>
    </row>
    <row r="20" ht="14.25" customHeight="1">
      <c r="A20" s="10" t="s">
        <v>37</v>
      </c>
      <c r="B20" s="9">
        <v>1600.0</v>
      </c>
      <c r="C20" s="10">
        <f>140*5</f>
        <v>700</v>
      </c>
      <c r="D20" s="9">
        <f t="shared" ref="D20:D23" si="3">C20*B20</f>
        <v>1120000</v>
      </c>
    </row>
    <row r="21" ht="14.25" customHeight="1">
      <c r="A21" s="10" t="s">
        <v>38</v>
      </c>
      <c r="B21" s="9">
        <v>2500.0</v>
      </c>
      <c r="C21" s="10">
        <f t="shared" ref="C21:C22" si="4">70*5</f>
        <v>350</v>
      </c>
      <c r="D21" s="9">
        <f t="shared" si="3"/>
        <v>875000</v>
      </c>
    </row>
    <row r="22" ht="14.25" customHeight="1">
      <c r="A22" s="10" t="s">
        <v>39</v>
      </c>
      <c r="B22" s="9">
        <v>4500.0</v>
      </c>
      <c r="C22" s="10">
        <f t="shared" si="4"/>
        <v>350</v>
      </c>
      <c r="D22" s="9">
        <f t="shared" si="3"/>
        <v>1575000</v>
      </c>
    </row>
    <row r="23" ht="14.25" customHeight="1">
      <c r="A23" s="10" t="s">
        <v>40</v>
      </c>
      <c r="B23" s="9">
        <v>3000000.0</v>
      </c>
      <c r="C23" s="10">
        <v>1.0</v>
      </c>
      <c r="D23" s="9">
        <f t="shared" si="3"/>
        <v>3000000</v>
      </c>
    </row>
    <row r="24" ht="14.25" customHeight="1">
      <c r="B24" s="13"/>
    </row>
    <row r="25" ht="14.25" customHeight="1">
      <c r="A25" s="12" t="s">
        <v>16</v>
      </c>
      <c r="B25" s="3" t="s">
        <v>35</v>
      </c>
      <c r="C25" s="3" t="s">
        <v>41</v>
      </c>
      <c r="D25" s="3" t="s">
        <v>6</v>
      </c>
    </row>
    <row r="26" ht="14.25" customHeight="1">
      <c r="A26" s="10" t="s">
        <v>42</v>
      </c>
      <c r="B26" s="9">
        <v>20000.0</v>
      </c>
      <c r="C26" s="10">
        <v>5.0</v>
      </c>
      <c r="D26" s="9">
        <f t="shared" ref="D26:D29" si="5">C26*B26</f>
        <v>100000</v>
      </c>
    </row>
    <row r="27" ht="14.25" customHeight="1">
      <c r="A27" s="10" t="s">
        <v>43</v>
      </c>
      <c r="B27" s="9">
        <v>35000.0</v>
      </c>
      <c r="C27" s="10">
        <v>5.0</v>
      </c>
      <c r="D27" s="9">
        <f t="shared" si="5"/>
        <v>175000</v>
      </c>
    </row>
    <row r="28" ht="14.25" customHeight="1">
      <c r="A28" s="10" t="s">
        <v>44</v>
      </c>
      <c r="B28" s="9">
        <v>15000.0</v>
      </c>
      <c r="C28" s="10">
        <v>5.0</v>
      </c>
      <c r="D28" s="9">
        <f t="shared" si="5"/>
        <v>75000</v>
      </c>
    </row>
    <row r="29" ht="14.25" customHeight="1">
      <c r="A29" s="10" t="s">
        <v>45</v>
      </c>
      <c r="B29" s="7">
        <v>36000.0</v>
      </c>
      <c r="C29" s="10">
        <v>5.0</v>
      </c>
      <c r="D29" s="9">
        <f t="shared" si="5"/>
        <v>180000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5.29"/>
    <col customWidth="1" min="3" max="6" width="12.0"/>
    <col customWidth="1" min="7" max="7" width="6.29"/>
    <col customWidth="1" min="8" max="8" width="17.86"/>
    <col customWidth="1" min="9" max="9" width="12.29"/>
    <col customWidth="1" min="10" max="10" width="6.29"/>
    <col customWidth="1" min="11" max="11" width="16.71"/>
    <col customWidth="1" min="12" max="12" width="13.0"/>
    <col customWidth="1" min="13" max="13" width="10.71"/>
    <col customWidth="1" min="14" max="14" width="11.86"/>
    <col customWidth="1" min="15" max="16" width="12.0"/>
    <col customWidth="1" min="17" max="17" width="10.71"/>
    <col customWidth="1" min="18" max="18" width="16.71"/>
    <col customWidth="1" min="19" max="19" width="14.86"/>
    <col customWidth="1" min="20" max="26" width="10.71"/>
  </cols>
  <sheetData>
    <row r="1" ht="14.25" customHeight="1">
      <c r="A1" s="12" t="s">
        <v>46</v>
      </c>
      <c r="B1" s="14"/>
      <c r="E1" s="14" t="s">
        <v>47</v>
      </c>
      <c r="R1" s="3" t="s">
        <v>48</v>
      </c>
      <c r="S1" s="15">
        <f>-B4</f>
        <v>-28000000</v>
      </c>
    </row>
    <row r="2" ht="14.25" customHeight="1">
      <c r="A2" s="3" t="s">
        <v>49</v>
      </c>
      <c r="B2" s="9">
        <v>3.5E7</v>
      </c>
      <c r="D2" s="16" t="s">
        <v>50</v>
      </c>
      <c r="R2" s="3" t="s">
        <v>51</v>
      </c>
      <c r="S2" s="15">
        <f>B24</f>
        <v>27588000</v>
      </c>
    </row>
    <row r="3" ht="14.25" customHeight="1">
      <c r="A3" s="3" t="s">
        <v>52</v>
      </c>
      <c r="B3" s="9">
        <f>SUM('Plan de costos'!I4:I7)</f>
        <v>27410000</v>
      </c>
      <c r="R3" s="3" t="s">
        <v>53</v>
      </c>
      <c r="S3" s="15">
        <f>C24</f>
        <v>-4562000</v>
      </c>
    </row>
    <row r="4" ht="14.25" customHeight="1">
      <c r="A4" s="3" t="s">
        <v>54</v>
      </c>
      <c r="B4" s="7">
        <v>2.8E7</v>
      </c>
      <c r="R4" s="3" t="s">
        <v>55</v>
      </c>
      <c r="S4" s="15">
        <f>D24</f>
        <v>1484163</v>
      </c>
    </row>
    <row r="5" ht="14.25" customHeight="1">
      <c r="R5" s="3" t="s">
        <v>56</v>
      </c>
      <c r="S5" s="15">
        <f>E24</f>
        <v>-7265837</v>
      </c>
    </row>
    <row r="6" ht="14.25" customHeight="1">
      <c r="R6" s="3" t="s">
        <v>57</v>
      </c>
      <c r="S6" s="15">
        <f>F24</f>
        <v>10234163</v>
      </c>
    </row>
    <row r="7" ht="14.25" customHeight="1"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66</v>
      </c>
      <c r="K7" s="3" t="s">
        <v>67</v>
      </c>
      <c r="L7" s="3" t="s">
        <v>68</v>
      </c>
      <c r="M7" s="3" t="s">
        <v>69</v>
      </c>
      <c r="N7" s="3" t="s">
        <v>70</v>
      </c>
      <c r="O7" s="3" t="s">
        <v>71</v>
      </c>
      <c r="P7" s="3" t="s">
        <v>6</v>
      </c>
      <c r="R7" s="3" t="s">
        <v>72</v>
      </c>
      <c r="S7" s="15">
        <f>G24</f>
        <v>-2703837</v>
      </c>
    </row>
    <row r="8" ht="14.25" customHeight="1">
      <c r="A8" s="12" t="s">
        <v>0</v>
      </c>
      <c r="R8" s="3" t="s">
        <v>73</v>
      </c>
      <c r="S8" s="15">
        <f>H24</f>
        <v>-2703837</v>
      </c>
    </row>
    <row r="9" ht="14.25" customHeight="1">
      <c r="A9" s="3" t="s">
        <v>1</v>
      </c>
      <c r="B9" s="9">
        <f>'Plan de costos'!I4/5</f>
        <v>3612000</v>
      </c>
      <c r="C9" s="9">
        <f>'Plan de costos'!I4/5</f>
        <v>3612000</v>
      </c>
      <c r="D9" s="9">
        <f>'Plan de costos'!I4/5</f>
        <v>3612000</v>
      </c>
      <c r="E9" s="9">
        <f>'Plan de costos'!I4/5</f>
        <v>3612000</v>
      </c>
      <c r="F9" s="9">
        <f>'Plan de costos'!I4/5</f>
        <v>3612000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9">
        <f t="shared" ref="P9:P12" si="1">SUM(B9:O9)</f>
        <v>18060000</v>
      </c>
      <c r="R9" s="3" t="s">
        <v>74</v>
      </c>
      <c r="S9" s="15">
        <f>I24</f>
        <v>-2703837</v>
      </c>
    </row>
    <row r="10" ht="14.25" customHeight="1">
      <c r="A10" s="3" t="s">
        <v>12</v>
      </c>
      <c r="B10" s="7">
        <v>1730000.0</v>
      </c>
      <c r="C10" s="17">
        <v>130000.0</v>
      </c>
      <c r="D10" s="17">
        <v>130000.0</v>
      </c>
      <c r="E10" s="17">
        <v>130000.0</v>
      </c>
      <c r="F10" s="17">
        <v>130000.0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9">
        <f t="shared" si="1"/>
        <v>2250000</v>
      </c>
      <c r="R10" s="3" t="s">
        <v>75</v>
      </c>
      <c r="S10" s="15">
        <f>J24</f>
        <v>-2703837</v>
      </c>
    </row>
    <row r="11" ht="14.25" customHeight="1">
      <c r="A11" s="3" t="s">
        <v>14</v>
      </c>
      <c r="B11" s="7">
        <v>3714000.0</v>
      </c>
      <c r="C11" s="7">
        <v>714000.0</v>
      </c>
      <c r="D11" s="7">
        <v>714000.0</v>
      </c>
      <c r="E11" s="7">
        <v>714000.0</v>
      </c>
      <c r="F11" s="7">
        <v>714000.0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9">
        <f t="shared" si="1"/>
        <v>6570000</v>
      </c>
      <c r="R11" s="3" t="s">
        <v>76</v>
      </c>
      <c r="S11" s="15">
        <f>K24</f>
        <v>-2703837</v>
      </c>
    </row>
    <row r="12" ht="14.25" customHeight="1">
      <c r="A12" s="3" t="s">
        <v>16</v>
      </c>
      <c r="B12" s="9">
        <f>'Plan de costos'!$I$7/5</f>
        <v>106000</v>
      </c>
      <c r="C12" s="9">
        <f>'Plan de costos'!$I$7/5</f>
        <v>106000</v>
      </c>
      <c r="D12" s="9">
        <f>'Plan de costos'!$I$7/5</f>
        <v>106000</v>
      </c>
      <c r="E12" s="9">
        <f>'Plan de costos'!$I$7/5</f>
        <v>106000</v>
      </c>
      <c r="F12" s="9">
        <f>'Plan de costos'!$I$7/5</f>
        <v>106000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9">
        <f t="shared" si="1"/>
        <v>530000</v>
      </c>
      <c r="R12" s="3" t="s">
        <v>77</v>
      </c>
      <c r="S12" s="15">
        <f>L24</f>
        <v>-2703837</v>
      </c>
    </row>
    <row r="13" ht="14.25" customHeight="1">
      <c r="A13" s="3" t="s">
        <v>78</v>
      </c>
      <c r="B13" s="7">
        <v>0.0</v>
      </c>
      <c r="C13" s="7">
        <v>0.0</v>
      </c>
      <c r="D13" s="7">
        <v>2703837.0</v>
      </c>
      <c r="E13" s="7">
        <v>2703837.0</v>
      </c>
      <c r="F13" s="7">
        <v>2703837.0</v>
      </c>
      <c r="G13" s="7">
        <v>2703837.0</v>
      </c>
      <c r="H13" s="7">
        <v>2703837.0</v>
      </c>
      <c r="I13" s="7">
        <v>2703837.0</v>
      </c>
      <c r="J13" s="7">
        <v>2703837.0</v>
      </c>
      <c r="K13" s="7">
        <v>2703837.0</v>
      </c>
      <c r="L13" s="7">
        <v>2703837.0</v>
      </c>
      <c r="M13" s="7">
        <v>2703837.0</v>
      </c>
      <c r="N13" s="7">
        <v>2703837.0</v>
      </c>
      <c r="O13" s="7">
        <v>2703837.0</v>
      </c>
      <c r="P13" s="9">
        <f>SUM(D13:O13)</f>
        <v>32446044</v>
      </c>
      <c r="R13" s="3" t="s">
        <v>79</v>
      </c>
      <c r="S13" s="15">
        <f>M24</f>
        <v>-2703837</v>
      </c>
    </row>
    <row r="14" ht="14.25" customHeight="1">
      <c r="A14" s="3" t="s">
        <v>29</v>
      </c>
      <c r="B14" s="9">
        <f t="shared" ref="B14:O14" si="2">SUM(B9:B13)</f>
        <v>9162000</v>
      </c>
      <c r="C14" s="9">
        <f t="shared" si="2"/>
        <v>4562000</v>
      </c>
      <c r="D14" s="9">
        <f t="shared" si="2"/>
        <v>7265837</v>
      </c>
      <c r="E14" s="9">
        <f t="shared" si="2"/>
        <v>7265837</v>
      </c>
      <c r="F14" s="9">
        <f t="shared" si="2"/>
        <v>7265837</v>
      </c>
      <c r="G14" s="9">
        <f t="shared" si="2"/>
        <v>2703837</v>
      </c>
      <c r="H14" s="9">
        <f t="shared" si="2"/>
        <v>2703837</v>
      </c>
      <c r="I14" s="9">
        <f t="shared" si="2"/>
        <v>2703837</v>
      </c>
      <c r="J14" s="9">
        <f t="shared" si="2"/>
        <v>2703837</v>
      </c>
      <c r="K14" s="9">
        <f t="shared" si="2"/>
        <v>2703837</v>
      </c>
      <c r="L14" s="9">
        <f t="shared" si="2"/>
        <v>2703837</v>
      </c>
      <c r="M14" s="9">
        <f t="shared" si="2"/>
        <v>2703837</v>
      </c>
      <c r="N14" s="9">
        <f t="shared" si="2"/>
        <v>2703837</v>
      </c>
      <c r="O14" s="9">
        <f t="shared" si="2"/>
        <v>2703837</v>
      </c>
      <c r="P14" s="10"/>
      <c r="R14" s="3" t="s">
        <v>80</v>
      </c>
      <c r="S14" s="15">
        <f>N24</f>
        <v>-2703837</v>
      </c>
    </row>
    <row r="15" ht="14.25" customHeight="1">
      <c r="R15" s="3" t="s">
        <v>81</v>
      </c>
      <c r="S15" s="15">
        <f>O24</f>
        <v>-2703837</v>
      </c>
    </row>
    <row r="16" ht="14.25" customHeight="1">
      <c r="A16" s="18" t="s">
        <v>82</v>
      </c>
    </row>
    <row r="17" ht="14.25" customHeight="1">
      <c r="A17" s="12" t="s">
        <v>83</v>
      </c>
    </row>
    <row r="18" ht="14.25" customHeight="1">
      <c r="A18" s="3" t="s">
        <v>84</v>
      </c>
      <c r="B18" s="9">
        <f>B2*0.25</f>
        <v>8750000</v>
      </c>
      <c r="C18" s="7">
        <v>0.0</v>
      </c>
      <c r="D18" s="9"/>
      <c r="E18" s="9"/>
      <c r="F18" s="9"/>
      <c r="G18" s="9">
        <f t="shared" ref="G18:O18" si="3">0</f>
        <v>0</v>
      </c>
      <c r="H18" s="9">
        <f t="shared" si="3"/>
        <v>0</v>
      </c>
      <c r="I18" s="9">
        <f t="shared" si="3"/>
        <v>0</v>
      </c>
      <c r="J18" s="9">
        <f t="shared" si="3"/>
        <v>0</v>
      </c>
      <c r="K18" s="9">
        <f t="shared" si="3"/>
        <v>0</v>
      </c>
      <c r="L18" s="9">
        <f t="shared" si="3"/>
        <v>0</v>
      </c>
      <c r="M18" s="9">
        <f t="shared" si="3"/>
        <v>0</v>
      </c>
      <c r="N18" s="9">
        <f t="shared" si="3"/>
        <v>0</v>
      </c>
      <c r="O18" s="9">
        <f t="shared" si="3"/>
        <v>0</v>
      </c>
    </row>
    <row r="19" ht="14.25" customHeight="1">
      <c r="A19" s="3" t="s">
        <v>85</v>
      </c>
      <c r="B19" s="9"/>
      <c r="C19" s="9"/>
      <c r="D19" s="9">
        <f>B2*0.25</f>
        <v>8750000</v>
      </c>
      <c r="E19" s="9"/>
      <c r="F19" s="9"/>
      <c r="G19" s="9">
        <f t="shared" ref="G19:O19" si="4">0</f>
        <v>0</v>
      </c>
      <c r="H19" s="9">
        <f t="shared" si="4"/>
        <v>0</v>
      </c>
      <c r="I19" s="9">
        <f t="shared" si="4"/>
        <v>0</v>
      </c>
      <c r="J19" s="9">
        <f t="shared" si="4"/>
        <v>0</v>
      </c>
      <c r="K19" s="9">
        <f t="shared" si="4"/>
        <v>0</v>
      </c>
      <c r="L19" s="9">
        <f t="shared" si="4"/>
        <v>0</v>
      </c>
      <c r="M19" s="9">
        <f t="shared" si="4"/>
        <v>0</v>
      </c>
      <c r="N19" s="9">
        <f t="shared" si="4"/>
        <v>0</v>
      </c>
      <c r="O19" s="9">
        <f t="shared" si="4"/>
        <v>0</v>
      </c>
      <c r="R19" s="19" t="s">
        <v>86</v>
      </c>
      <c r="S19" s="20">
        <v>0.01</v>
      </c>
      <c r="T19" s="14" t="s">
        <v>87</v>
      </c>
    </row>
    <row r="20" ht="14.25" customHeight="1">
      <c r="A20" s="3" t="s">
        <v>88</v>
      </c>
      <c r="B20" s="9"/>
      <c r="C20" s="9"/>
      <c r="D20" s="9"/>
      <c r="E20" s="9"/>
      <c r="F20" s="9">
        <f>B2*0.5</f>
        <v>17500000</v>
      </c>
      <c r="G20" s="9">
        <f t="shared" ref="G20:O20" si="5">0</f>
        <v>0</v>
      </c>
      <c r="H20" s="9">
        <f t="shared" si="5"/>
        <v>0</v>
      </c>
      <c r="I20" s="9">
        <f t="shared" si="5"/>
        <v>0</v>
      </c>
      <c r="J20" s="9">
        <f t="shared" si="5"/>
        <v>0</v>
      </c>
      <c r="K20" s="9">
        <f t="shared" si="5"/>
        <v>0</v>
      </c>
      <c r="L20" s="9">
        <f t="shared" si="5"/>
        <v>0</v>
      </c>
      <c r="M20" s="9">
        <f t="shared" si="5"/>
        <v>0</v>
      </c>
      <c r="N20" s="9">
        <f t="shared" si="5"/>
        <v>0</v>
      </c>
      <c r="O20" s="9">
        <f t="shared" si="5"/>
        <v>0</v>
      </c>
    </row>
    <row r="21" ht="14.25" customHeight="1">
      <c r="A21" s="3" t="s">
        <v>89</v>
      </c>
      <c r="B21" s="9">
        <f>B4</f>
        <v>28000000</v>
      </c>
      <c r="C21" s="9"/>
      <c r="D21" s="9"/>
      <c r="E21" s="9"/>
      <c r="F21" s="9"/>
      <c r="G21" s="9">
        <f t="shared" ref="G21:O21" si="6">0</f>
        <v>0</v>
      </c>
      <c r="H21" s="9">
        <f t="shared" si="6"/>
        <v>0</v>
      </c>
      <c r="I21" s="9">
        <f t="shared" si="6"/>
        <v>0</v>
      </c>
      <c r="J21" s="9">
        <f t="shared" si="6"/>
        <v>0</v>
      </c>
      <c r="K21" s="9">
        <f t="shared" si="6"/>
        <v>0</v>
      </c>
      <c r="L21" s="9">
        <f t="shared" si="6"/>
        <v>0</v>
      </c>
      <c r="M21" s="9">
        <f t="shared" si="6"/>
        <v>0</v>
      </c>
      <c r="N21" s="9">
        <f t="shared" si="6"/>
        <v>0</v>
      </c>
      <c r="O21" s="9">
        <f t="shared" si="6"/>
        <v>0</v>
      </c>
      <c r="R21" s="12" t="s">
        <v>90</v>
      </c>
      <c r="S21" s="20">
        <v>0.27</v>
      </c>
      <c r="T21" s="14" t="s">
        <v>91</v>
      </c>
    </row>
    <row r="22" ht="14.25" customHeight="1">
      <c r="A22" s="3" t="s">
        <v>92</v>
      </c>
      <c r="B22" s="9">
        <f>B18+B4</f>
        <v>36750000</v>
      </c>
      <c r="C22" s="7">
        <v>0.0</v>
      </c>
      <c r="D22" s="9">
        <f>D19</f>
        <v>8750000</v>
      </c>
      <c r="E22" s="7">
        <v>0.0</v>
      </c>
      <c r="F22" s="9">
        <f>F20</f>
        <v>17500000</v>
      </c>
      <c r="G22" s="9">
        <f t="shared" ref="G22:O22" si="7">0</f>
        <v>0</v>
      </c>
      <c r="H22" s="9">
        <f t="shared" si="7"/>
        <v>0</v>
      </c>
      <c r="I22" s="9">
        <f t="shared" si="7"/>
        <v>0</v>
      </c>
      <c r="J22" s="9">
        <f t="shared" si="7"/>
        <v>0</v>
      </c>
      <c r="K22" s="9">
        <f t="shared" si="7"/>
        <v>0</v>
      </c>
      <c r="L22" s="9">
        <f t="shared" si="7"/>
        <v>0</v>
      </c>
      <c r="M22" s="9">
        <f t="shared" si="7"/>
        <v>0</v>
      </c>
      <c r="N22" s="9">
        <f t="shared" si="7"/>
        <v>0</v>
      </c>
      <c r="O22" s="9">
        <f t="shared" si="7"/>
        <v>0</v>
      </c>
      <c r="R22" s="12" t="s">
        <v>93</v>
      </c>
      <c r="S22" s="15">
        <f>SUM(B24:O24)</f>
        <v>3143956</v>
      </c>
      <c r="T22" s="14" t="s">
        <v>94</v>
      </c>
    </row>
    <row r="23" ht="14.25" customHeight="1"/>
    <row r="24" ht="14.25" customHeight="1">
      <c r="A24" s="21" t="s">
        <v>95</v>
      </c>
      <c r="B24" s="9">
        <f t="shared" ref="B24:O24" si="8">B22-B14</f>
        <v>27588000</v>
      </c>
      <c r="C24" s="9">
        <f t="shared" si="8"/>
        <v>-4562000</v>
      </c>
      <c r="D24" s="9">
        <f t="shared" si="8"/>
        <v>1484163</v>
      </c>
      <c r="E24" s="9">
        <f t="shared" si="8"/>
        <v>-7265837</v>
      </c>
      <c r="F24" s="9">
        <f t="shared" si="8"/>
        <v>10234163</v>
      </c>
      <c r="G24" s="9">
        <f t="shared" si="8"/>
        <v>-2703837</v>
      </c>
      <c r="H24" s="9">
        <f t="shared" si="8"/>
        <v>-2703837</v>
      </c>
      <c r="I24" s="9">
        <f t="shared" si="8"/>
        <v>-2703837</v>
      </c>
      <c r="J24" s="9">
        <f t="shared" si="8"/>
        <v>-2703837</v>
      </c>
      <c r="K24" s="9">
        <f t="shared" si="8"/>
        <v>-2703837</v>
      </c>
      <c r="L24" s="9">
        <f t="shared" si="8"/>
        <v>-2703837</v>
      </c>
      <c r="M24" s="9">
        <f t="shared" si="8"/>
        <v>-2703837</v>
      </c>
      <c r="N24" s="9">
        <f t="shared" si="8"/>
        <v>-2703837</v>
      </c>
      <c r="O24" s="9">
        <f t="shared" si="8"/>
        <v>-2703837</v>
      </c>
      <c r="P24" s="22">
        <f>SUM(B24:O24)</f>
        <v>3143956</v>
      </c>
    </row>
    <row r="25" ht="14.25" customHeight="1"/>
    <row r="26" ht="14.25" customHeight="1">
      <c r="A26" s="3" t="s">
        <v>96</v>
      </c>
      <c r="B26" s="23">
        <v>22.0</v>
      </c>
      <c r="D26" s="18"/>
    </row>
    <row r="27" ht="14.25" customHeight="1">
      <c r="A27" s="3" t="s">
        <v>97</v>
      </c>
      <c r="B27" s="8">
        <v>35.0</v>
      </c>
      <c r="C27" s="14" t="s">
        <v>98</v>
      </c>
      <c r="D27" s="18"/>
    </row>
    <row r="28" ht="14.25" customHeight="1">
      <c r="A28" s="3" t="s">
        <v>99</v>
      </c>
      <c r="B28" s="9">
        <f>'Plan de costos'!I4/22</f>
        <v>820909.0909</v>
      </c>
    </row>
    <row r="29" ht="14.25" customHeight="1">
      <c r="A29" s="3" t="s">
        <v>100</v>
      </c>
      <c r="B29" s="15">
        <f>'Plan de costos'!I5</f>
        <v>2250000</v>
      </c>
    </row>
    <row r="30" ht="14.25" customHeight="1">
      <c r="A30" s="3" t="s">
        <v>101</v>
      </c>
      <c r="B30" s="9">
        <f>'Plan de costos'!I6/22</f>
        <v>298636.3636</v>
      </c>
    </row>
    <row r="31" ht="14.25" customHeight="1">
      <c r="O31" s="21" t="s">
        <v>102</v>
      </c>
      <c r="P31" s="12"/>
      <c r="Q31" s="12"/>
      <c r="R31" s="24">
        <v>0.12</v>
      </c>
    </row>
    <row r="32" ht="14.25" customHeight="1"/>
    <row r="33" ht="14.25" customHeight="1"/>
    <row r="34" ht="14.25" customHeight="1"/>
    <row r="35" ht="14.25" customHeight="1">
      <c r="A35" s="12" t="s">
        <v>0</v>
      </c>
      <c r="B35" s="3"/>
      <c r="C35" s="3"/>
      <c r="D35" s="3"/>
      <c r="E35" s="3"/>
      <c r="F35" s="3"/>
      <c r="H35" s="12" t="s">
        <v>46</v>
      </c>
      <c r="K35" s="12" t="s">
        <v>103</v>
      </c>
    </row>
    <row r="36" ht="14.25" customHeight="1">
      <c r="A36" s="3" t="s">
        <v>1</v>
      </c>
      <c r="B36" s="15">
        <f>'Plan de costos'!I4/5</f>
        <v>3612000</v>
      </c>
      <c r="C36" s="15">
        <f>'Plan de costos'!$I$4/5</f>
        <v>3612000</v>
      </c>
      <c r="D36" s="15">
        <f>'Plan de costos'!$I$4/5</f>
        <v>3612000</v>
      </c>
      <c r="E36" s="15">
        <f>'Plan de costos'!$I$4/5</f>
        <v>3612000</v>
      </c>
      <c r="F36" s="15">
        <f>'Plan de costos'!$I$4/5</f>
        <v>3612000</v>
      </c>
      <c r="H36" s="3" t="s">
        <v>49</v>
      </c>
      <c r="I36" s="15">
        <f t="shared" ref="I36:I38" si="9">B2</f>
        <v>35000000</v>
      </c>
      <c r="K36" s="3" t="s">
        <v>48</v>
      </c>
      <c r="L36" s="15">
        <f t="shared" ref="L36:L41" si="10">S1</f>
        <v>-28000000</v>
      </c>
    </row>
    <row r="37" ht="14.25" customHeight="1">
      <c r="A37" s="3" t="s">
        <v>12</v>
      </c>
      <c r="B37" s="25">
        <v>1730000.0</v>
      </c>
      <c r="C37" s="25">
        <v>130000.0</v>
      </c>
      <c r="D37" s="25">
        <v>130000.0</v>
      </c>
      <c r="E37" s="25">
        <v>130000.0</v>
      </c>
      <c r="F37" s="25">
        <v>130000.0</v>
      </c>
      <c r="H37" s="3" t="s">
        <v>52</v>
      </c>
      <c r="I37" s="15">
        <f t="shared" si="9"/>
        <v>27410000</v>
      </c>
      <c r="K37" s="3" t="s">
        <v>51</v>
      </c>
      <c r="L37" s="15">
        <f t="shared" si="10"/>
        <v>27588000</v>
      </c>
    </row>
    <row r="38" ht="14.25" customHeight="1">
      <c r="A38" s="3" t="s">
        <v>14</v>
      </c>
      <c r="B38" s="25">
        <v>3714000.0</v>
      </c>
      <c r="C38" s="25">
        <v>714000.0</v>
      </c>
      <c r="D38" s="25">
        <v>714000.0</v>
      </c>
      <c r="E38" s="25">
        <v>714000.0</v>
      </c>
      <c r="F38" s="25">
        <v>714000.0</v>
      </c>
      <c r="H38" s="3" t="s">
        <v>54</v>
      </c>
      <c r="I38" s="15">
        <f t="shared" si="9"/>
        <v>28000000</v>
      </c>
      <c r="K38" s="3" t="s">
        <v>53</v>
      </c>
      <c r="L38" s="15">
        <f t="shared" si="10"/>
        <v>-4562000</v>
      </c>
    </row>
    <row r="39" ht="14.25" customHeight="1">
      <c r="A39" s="3" t="s">
        <v>16</v>
      </c>
      <c r="B39" s="15">
        <f>'Plan de costos'!$I$7/5</f>
        <v>106000</v>
      </c>
      <c r="C39" s="15">
        <f>'Plan de costos'!$I$7/5</f>
        <v>106000</v>
      </c>
      <c r="D39" s="15">
        <f>'Plan de costos'!$I$7/5</f>
        <v>106000</v>
      </c>
      <c r="E39" s="15">
        <f>'Plan de costos'!$I$7/5</f>
        <v>106000</v>
      </c>
      <c r="F39" s="15">
        <f>'Plan de costos'!$I$7/5</f>
        <v>106000</v>
      </c>
      <c r="H39" s="26"/>
      <c r="I39" s="10"/>
      <c r="K39" s="3" t="s">
        <v>55</v>
      </c>
      <c r="L39" s="15">
        <f t="shared" si="10"/>
        <v>1484163</v>
      </c>
      <c r="R39" s="27"/>
      <c r="S39" s="27"/>
      <c r="T39" s="27"/>
    </row>
    <row r="40" ht="14.25" customHeight="1">
      <c r="A40" s="3" t="s">
        <v>78</v>
      </c>
      <c r="B40" s="15"/>
      <c r="C40" s="15"/>
      <c r="D40" s="15">
        <f t="shared" ref="D40:F40" si="11">D13</f>
        <v>2703837</v>
      </c>
      <c r="E40" s="15">
        <f t="shared" si="11"/>
        <v>2703837</v>
      </c>
      <c r="F40" s="15">
        <f t="shared" si="11"/>
        <v>2703837</v>
      </c>
      <c r="H40" s="3" t="s">
        <v>104</v>
      </c>
      <c r="I40" s="8">
        <v>12.0</v>
      </c>
      <c r="K40" s="3" t="s">
        <v>56</v>
      </c>
      <c r="L40" s="15">
        <f t="shared" si="10"/>
        <v>-7265837</v>
      </c>
      <c r="R40" s="28"/>
      <c r="S40" s="28"/>
      <c r="T40" s="27"/>
    </row>
    <row r="41" ht="14.25" customHeight="1">
      <c r="A41" s="3" t="s">
        <v>29</v>
      </c>
      <c r="B41" s="15">
        <f t="shared" ref="B41:F41" si="12">SUM(B36:B40)</f>
        <v>9162000</v>
      </c>
      <c r="C41" s="15">
        <f t="shared" si="12"/>
        <v>4562000</v>
      </c>
      <c r="D41" s="15">
        <f t="shared" si="12"/>
        <v>7265837</v>
      </c>
      <c r="E41" s="15">
        <f t="shared" si="12"/>
        <v>7265837</v>
      </c>
      <c r="F41" s="15">
        <f t="shared" si="12"/>
        <v>7265837</v>
      </c>
      <c r="H41" s="3" t="s">
        <v>105</v>
      </c>
      <c r="I41" s="15">
        <f>P13</f>
        <v>32446044</v>
      </c>
      <c r="K41" s="3" t="s">
        <v>57</v>
      </c>
      <c r="L41" s="15">
        <f t="shared" si="10"/>
        <v>10234163</v>
      </c>
      <c r="R41" s="28"/>
      <c r="S41" s="28"/>
      <c r="T41" s="27"/>
    </row>
    <row r="42" ht="14.25" customHeight="1">
      <c r="A42" s="12" t="s">
        <v>83</v>
      </c>
      <c r="B42" s="29"/>
      <c r="C42" s="29"/>
      <c r="D42" s="29"/>
      <c r="E42" s="29"/>
      <c r="F42" s="29"/>
      <c r="H42" s="3" t="s">
        <v>106</v>
      </c>
      <c r="I42" s="15">
        <f>O13</f>
        <v>2703837</v>
      </c>
      <c r="K42" s="12" t="s">
        <v>86</v>
      </c>
      <c r="L42" s="30">
        <f>S19</f>
        <v>0.01</v>
      </c>
      <c r="R42" s="28"/>
      <c r="S42" s="31"/>
      <c r="T42" s="27"/>
    </row>
    <row r="43" ht="14.25" customHeight="1">
      <c r="A43" s="3" t="s">
        <v>84</v>
      </c>
      <c r="B43" s="9">
        <f>B2*0.25</f>
        <v>8750000</v>
      </c>
      <c r="C43" s="9"/>
      <c r="D43" s="9"/>
      <c r="E43" s="9"/>
      <c r="F43" s="9"/>
      <c r="H43" s="19" t="s">
        <v>107</v>
      </c>
      <c r="I43" s="32">
        <f>I41-I38</f>
        <v>4446044</v>
      </c>
      <c r="K43" s="12" t="s">
        <v>90</v>
      </c>
      <c r="L43" s="33">
        <f t="shared" ref="L43:L44" si="13">S21</f>
        <v>0.27</v>
      </c>
      <c r="R43" s="28"/>
      <c r="S43" s="28"/>
      <c r="T43" s="27"/>
    </row>
    <row r="44" ht="14.25" customHeight="1">
      <c r="A44" s="3" t="s">
        <v>85</v>
      </c>
      <c r="B44" s="9"/>
      <c r="C44" s="9"/>
      <c r="D44" s="9">
        <f>B2*0.25</f>
        <v>8750000</v>
      </c>
      <c r="E44" s="9"/>
      <c r="F44" s="9"/>
      <c r="H44" s="19" t="s">
        <v>108</v>
      </c>
      <c r="I44" s="33">
        <f>R31</f>
        <v>0.12</v>
      </c>
      <c r="K44" s="12" t="s">
        <v>93</v>
      </c>
      <c r="L44" s="15">
        <f t="shared" si="13"/>
        <v>3143956</v>
      </c>
      <c r="R44" s="28"/>
      <c r="S44" s="28"/>
      <c r="T44" s="28"/>
    </row>
    <row r="45" ht="14.25" customHeight="1">
      <c r="A45" s="3" t="s">
        <v>88</v>
      </c>
      <c r="B45" s="9"/>
      <c r="C45" s="9"/>
      <c r="D45" s="9"/>
      <c r="E45" s="9"/>
      <c r="F45" s="9">
        <f>B2*0.5</f>
        <v>17500000</v>
      </c>
    </row>
    <row r="46" ht="14.25" customHeight="1">
      <c r="A46" s="3" t="s">
        <v>89</v>
      </c>
      <c r="B46" s="9">
        <f>B21</f>
        <v>28000000</v>
      </c>
      <c r="C46" s="9"/>
      <c r="D46" s="9"/>
      <c r="E46" s="9"/>
      <c r="F46" s="9"/>
    </row>
    <row r="47" ht="14.25" customHeight="1">
      <c r="A47" s="3" t="s">
        <v>92</v>
      </c>
      <c r="B47" s="9">
        <f>SUM(B43:B46)</f>
        <v>36750000</v>
      </c>
      <c r="C47" s="7">
        <v>0.0</v>
      </c>
      <c r="D47" s="9">
        <f>SUM(D43:D46)</f>
        <v>8750000</v>
      </c>
      <c r="E47" s="7">
        <v>0.0</v>
      </c>
      <c r="F47" s="9">
        <f>F45</f>
        <v>17500000</v>
      </c>
      <c r="H47" s="14" t="s">
        <v>109</v>
      </c>
      <c r="I47" s="22">
        <f>I36-I37</f>
        <v>7590000</v>
      </c>
      <c r="J47" s="14" t="s">
        <v>110</v>
      </c>
    </row>
    <row r="48" ht="14.25" customHeight="1">
      <c r="A48" s="12" t="s">
        <v>111</v>
      </c>
      <c r="B48" s="15">
        <f t="shared" ref="B48:F48" si="14">B47-B41</f>
        <v>27588000</v>
      </c>
      <c r="C48" s="15">
        <f t="shared" si="14"/>
        <v>-4562000</v>
      </c>
      <c r="D48" s="15">
        <f t="shared" si="14"/>
        <v>1484163</v>
      </c>
      <c r="E48" s="15">
        <f t="shared" si="14"/>
        <v>-7265837</v>
      </c>
      <c r="F48" s="15">
        <f t="shared" si="14"/>
        <v>10234163</v>
      </c>
      <c r="H48" s="34" t="s">
        <v>112</v>
      </c>
      <c r="I48" s="35">
        <f>I47-I43</f>
        <v>3143956</v>
      </c>
      <c r="J48" s="14" t="s">
        <v>113</v>
      </c>
    </row>
    <row r="49" ht="14.25" customHeight="1">
      <c r="B49" s="13"/>
      <c r="C49" s="13"/>
      <c r="D49" s="13"/>
      <c r="E49" s="13"/>
      <c r="F49" s="13"/>
    </row>
    <row r="50" ht="14.25" customHeight="1">
      <c r="B50" s="13"/>
      <c r="C50" s="13"/>
      <c r="D50" s="13"/>
      <c r="E50" s="13"/>
      <c r="F50" s="13"/>
    </row>
    <row r="51" ht="14.25" customHeight="1">
      <c r="B51" s="13"/>
      <c r="C51" s="13"/>
      <c r="D51" s="13"/>
      <c r="E51" s="13"/>
      <c r="F51" s="13"/>
    </row>
    <row r="52" ht="14.25" customHeight="1">
      <c r="B52" s="13"/>
      <c r="C52" s="13"/>
      <c r="D52" s="13"/>
      <c r="E52" s="13"/>
      <c r="F52" s="13"/>
    </row>
    <row r="53" ht="14.25" customHeight="1">
      <c r="B53" s="13"/>
      <c r="C53" s="13"/>
      <c r="D53" s="13"/>
      <c r="E53" s="13"/>
      <c r="F53" s="13"/>
    </row>
    <row r="54" ht="14.25" customHeight="1"/>
    <row r="55" ht="14.25" customHeight="1">
      <c r="B55" s="13"/>
      <c r="C55" s="13"/>
      <c r="D55" s="13"/>
      <c r="E55" s="13"/>
      <c r="F55" s="13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Juan Cabrera</dc:creator>
</cp:coreProperties>
</file>